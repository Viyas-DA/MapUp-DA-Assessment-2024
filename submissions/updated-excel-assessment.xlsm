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https://d.docs.live.net/3e67149ce0df4846/Desktop/Projects/Directory/templates/MapUp-DA-Assessment-2024/"/>
    </mc:Choice>
  </mc:AlternateContent>
  <xr:revisionPtr revIDLastSave="134" documentId="13_ncr:1_{DCFAE75F-9014-204F-9FF0-0E1BF7430B80}" xr6:coauthVersionLast="47" xr6:coauthVersionMax="47" xr10:uidLastSave="{F03068E5-25F3-4191-A3BC-C8CB24E1F15D}"/>
  <bookViews>
    <workbookView xWindow="-108" yWindow="-108" windowWidth="23256" windowHeight="12456" tabRatio="849" activeTab="3"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 i="18" l="1"/>
  <c r="D30" i="18"/>
  <c r="E30" i="18"/>
  <c r="F30" i="18"/>
  <c r="C24" i="20"/>
  <c r="C25" i="20"/>
  <c r="C26" i="20"/>
  <c r="C27" i="20"/>
  <c r="C28" i="20"/>
  <c r="C29" i="20"/>
  <c r="C30" i="20"/>
  <c r="C31" i="20"/>
  <c r="C32" i="20"/>
  <c r="C33" i="20"/>
  <c r="C34" i="20"/>
  <c r="C35" i="20"/>
  <c r="C23" i="20"/>
  <c r="C22" i="19" a="1"/>
  <c r="C22" i="19" s="1"/>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F6" i="18"/>
  <c r="E16" i="18"/>
  <c r="E17" i="18"/>
  <c r="E18" i="18"/>
  <c r="E19" i="18"/>
  <c r="E20" i="18"/>
  <c r="E21" i="18"/>
  <c r="E22" i="18"/>
  <c r="E23" i="18"/>
  <c r="E24" i="18"/>
  <c r="E25" i="18"/>
  <c r="E26" i="18"/>
  <c r="E27" i="18"/>
  <c r="E7" i="18"/>
  <c r="E8" i="18"/>
  <c r="E9" i="18"/>
  <c r="E10" i="18"/>
  <c r="E11" i="18"/>
  <c r="E12" i="18"/>
  <c r="E13" i="18"/>
  <c r="E14" i="18"/>
  <c r="E15"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C5" i="15"/>
  <c r="H4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<sst xmlns="http://schemas.openxmlformats.org/spreadsheetml/2006/main" count="404" uniqueCount="181">
  <si>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</si>
  <si>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</si>
  <si>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</si>
  <si>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</si>
  <si>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</si>
  <si>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</si>
  <si>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</si>
  <si>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</si>
  <si>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</si>
  <si>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</si>
  <si>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</si>
  <si>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</si>
  <si>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</si>
  <si>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</si>
  <si>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</si>
  <si>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</si>
  <si>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</si>
  <si>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</si>
  <si>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</si>
  <si>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</si>
  <si>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</si>
  <si>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</si>
  <si>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</si>
  <si>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</si>
  <si>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</si>
  <si>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</si>
  <si>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</si>
  <si>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</si>
  <si>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</si>
  <si>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</si>
  <si>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</si>
  <si>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</si>
  <si>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</si>
  <si>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</si>
  <si>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</si>
  <si>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</si>
  <si>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</si>
  <si>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</si>
  <si>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</si>
  <si>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</si>
  <si>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</si>
  <si>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</si>
  <si>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</si>
  <si>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</si>
  <si>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</si>
  <si>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</si>
  <si>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</si>
  <si>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</si>
  <si>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</si>
  <si>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</si>
  <si>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</si>
  <si>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</si>
  <si>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</si>
  <si>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</si>
  <si>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</si>
  <si>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</si>
  <si>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</si>
  <si>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</si>
  <si>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</si>
  <si>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</si>
  <si>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</si>
  <si>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</si>
  <si>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</si>
  <si>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</si>
  <si>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</si>
  <si>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</si>
  <si>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</si>
  <si>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</si>
  <si>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</si>
  <si>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</si>
  <si>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</si>
  <si>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</si>
  <si>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</si>
  <si>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</si>
  <si>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</si>
  <si>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</si>
  <si>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</si>
  <si>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</si>
  <si>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</si>
  <si>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</si>
  <si>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</si>
  <si>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</si>
  <si>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</si>
  <si>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</si>
  <si>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</si>
  <si>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</si>
  <si>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</si>
  <si>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</si>
  <si>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</si>
  <si>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</si>
  <si>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</si>
  <si>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</si>
  <si>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</si>
  <si>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</si>
  <si>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</si>
  <si>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</si>
  <si>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</si>
  <si>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</si>
  <si>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</si>
  <si>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</si>
  <si>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</si>
  <si>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</si>
  <si>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</si>
  <si>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</si>
  <si>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</si>
  <si>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</si>
  <si>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</si>
  <si>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</si>
  <si>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</si>
  <si>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</si>
  <si>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</si>
  <si>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</si>
  <si>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</si>
  <si>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</si>
  <si>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</si>
  <si>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</si>
  <si>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</si>
  <si>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</si>
  <si>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</si>
  <si>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</si>
  <si>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</si>
  <si>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</si>
  <si>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</si>
  <si>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</si>
  <si>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</si>
  <si>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</si>
  <si>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</si>
  <si>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</si>
  <si>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</si>
  <si>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</si>
  <si>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</si>
  <si>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</si>
  <si>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</si>
  <si>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</si>
  <si>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</si>
  <si>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</si>
  <si>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</si>
  <si>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</si>
  <si>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</si>
  <si>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</si>
  <si>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</si>
  <si>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</si>
  <si>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</si>
  <si>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</si>
  <si>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</si>
  <si>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</si>
  <si>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</si>
  <si>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</si>
  <si>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</si>
  <si>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</si>
  <si>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</si>
  <si>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</si>
  <si>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</si>
  <si>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</si>
  <si>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</si>
  <si>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</si>
  <si>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</si>
  <si>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</si>
  <si>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</si>
  <si>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</si>
  <si>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</si>
  <si>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</si>
  <si>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</si>
  <si>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</si>
  <si>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</si>
  <si>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</si>
  <si>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</si>
  <si>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</si>
  <si>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</si>
  <si>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</si>
  <si>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</si>
  <si>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</si>
  <si>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</si>
  <si>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</si>
  <si>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</si>
  <si>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</si>
  <si>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</si>
  <si>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The IFERROR function check each values in the Sales column, if it encounter with error values, it subtitutes it with the value 20. After replacing the error values, the SUM function adds up all the value in the column</t>
  </si>
  <si>
    <t>IFERROR and SUM</t>
  </si>
  <si>
    <t>This formula retrieves a value from Table A (A9) based on the row matching the ID in A23 and the column matching the ID in B23, both found in Table B (M9)</t>
  </si>
  <si>
    <t>Index and Match fucntion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</si>
</sst>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2" fillId="0" borderId="0" xfId="0" applyFont="1"/>
    <xf numFmtId="166" fontId="7" fillId="0" borderId="0" xfId="0" applyNumberFormat="1" applyFont="1"/>
    <xf numFmtId="166" fontId="3" fillId="0" borderId="0" xfId="0" applyNumberFormat="1" applyFont="1"/>
    <xf numFmtId="0" fontId="8"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00B050"/>
      </font>
    </dxf>
    <dxf>
      <font>
        <color rgb="FFFF000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18" sqref="A18"/>
    </sheetView>
  </sheetViews>
  <sheetFormatPr defaultColWidth="11" defaultRowHeight="13.8" x14ac:dyDescent="0.3"/>
  <cols>
    <col min="1" max="1" width="70.77734375" style="2" bestFit="1" customWidth="1"/>
    <col min="2" max="16384" width="11" style="2"/>
  </cols>
  <sheetData>
    <row r="1" spans="1:3" ht="18" x14ac:dyDescent="0.35">
      <c r="A1" s="39"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6" t="s">
        <v>170</v>
      </c>
      <c r="B9" s="26" t="s">
        <v>168</v>
      </c>
    </row>
    <row r="10" spans="1:3" x14ac:dyDescent="0.3">
      <c r="A10" s="35" t="s">
        <v>171</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2"/>
  <sheetViews>
    <sheetView topLeftCell="I1" zoomScaleNormal="100" workbookViewId="0">
      <pane ySplit="1" topLeftCell="A2" activePane="bottomLeft" state="frozen"/>
      <selection activeCell="C1" sqref="C1"/>
      <selection pane="bottomLeft" activeCell="G2" sqref="G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7"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6"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7">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7">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7">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7">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7">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7">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7">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7">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7">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7">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7">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7">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7">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7">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7">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7">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7">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7">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7">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7">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7">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7">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7">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7">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7">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7">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7">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7">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7">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7">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7">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7">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7">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7">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7">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7">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7">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7">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7">
        <v>45162</v>
      </c>
    </row>
    <row r="42" spans="1:24" x14ac:dyDescent="0.3">
      <c r="H42" s="45">
        <f>SUMIF(H2:H40, "&gt;20")</f>
        <v>1473.0000000000002</v>
      </c>
    </row>
  </sheetData>
  <conditionalFormatting sqref="A1:A1048576">
    <cfRule type="duplicateValues" dxfId="3" priority="4"/>
  </conditionalFormatting>
  <conditionalFormatting sqref="B1:B1048576">
    <cfRule type="duplicateValues" dxfId="2" priority="3"/>
  </conditionalFormatting>
  <conditionalFormatting sqref="A1:XFD41 A43:XFD1048576 A42:G42 I42:XFD42">
    <cfRule type="cellIs" dxfId="1" priority="2" operator="equal">
      <formula>-1</formula>
    </cfRule>
  </conditionalFormatting>
  <conditionalFormatting sqref="G1:W41 G43:W1048576 G42 I42:W42">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B1" zoomScaleNormal="100" workbookViewId="0">
      <selection activeCell="C6" sqref="C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4">
        <f>SUMIF(H2:H40, "&gt;20")</f>
        <v>0</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abSelected="1" topLeftCell="A13" zoomScaleNormal="100" workbookViewId="0">
      <selection activeCell="I22" sqref="I22"/>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55</v>
      </c>
      <c r="B1" s="41" t="s">
        <v>163</v>
      </c>
    </row>
    <row r="2" spans="1:7" s="41" customFormat="1" ht="21" x14ac:dyDescent="0.4">
      <c r="B2" s="41"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f>VLOOKUP(Task_2!A6,Dataset!A2:W40,7,FALSE)</f>
        <v>2.7</v>
      </c>
      <c r="C6" s="12">
        <f>VLOOKUP(A6,Dataset!A2:W40,14,FALSE)</f>
        <v>7.6</v>
      </c>
      <c r="D6" s="12">
        <f>VLOOKUP(A6,Dataset!A2:W40,18,FALSE)</f>
        <v>4.2</v>
      </c>
      <c r="E6" s="12">
        <f>VLOOKUP(A6,Dataset!A2:W40,20,FALSE)</f>
        <v>8.9</v>
      </c>
      <c r="F6" s="8">
        <f>VLOOKUP(A6,Dataset!A2:W40,22,FALSE)</f>
        <v>4.2</v>
      </c>
    </row>
    <row r="7" spans="1:7" ht="14.4" x14ac:dyDescent="0.3">
      <c r="A7" s="7" t="s">
        <v>4</v>
      </c>
      <c r="B7" s="12">
        <f>VLOOKUP(Task_2!A7,Dataset!A3:W41,7,FALSE)</f>
        <v>2.7</v>
      </c>
      <c r="C7" s="12">
        <f>VLOOKUP(A7,Dataset!A3:W41,14,FALSE)</f>
        <v>7.6</v>
      </c>
      <c r="D7" s="12">
        <f>VLOOKUP(A7,Dataset!A3:W41,18,FALSE)</f>
        <v>4.2</v>
      </c>
      <c r="E7" s="12">
        <f>VLOOKUP(A7,Dataset!A3:W41,20,FALSE)</f>
        <v>8.9</v>
      </c>
      <c r="F7" s="8">
        <f>VLOOKUP(A7,Dataset!A3:W41,22,FALSE)</f>
        <v>4.2</v>
      </c>
    </row>
    <row r="8" spans="1:7" ht="14.4" x14ac:dyDescent="0.3">
      <c r="A8" s="7" t="s">
        <v>7</v>
      </c>
      <c r="B8" s="12">
        <f>VLOOKUP(Task_2!A8,Dataset!A4:W42,7,FALSE)</f>
        <v>3.6</v>
      </c>
      <c r="C8" s="12">
        <f>VLOOKUP(A8,Dataset!A4:W42,14,FALSE)</f>
        <v>11.1</v>
      </c>
      <c r="D8" s="12">
        <f>VLOOKUP(A8,Dataset!A4:W42,18,FALSE)</f>
        <v>5.8</v>
      </c>
      <c r="E8" s="12">
        <f>VLOOKUP(A8,Dataset!A4:W42,20,FALSE)</f>
        <v>12.2</v>
      </c>
      <c r="F8" s="8">
        <f>VLOOKUP(A8,Dataset!A4:W42,22,FALSE)</f>
        <v>5.8</v>
      </c>
    </row>
    <row r="9" spans="1:7" ht="14.4" x14ac:dyDescent="0.3">
      <c r="A9" s="7" t="s">
        <v>8</v>
      </c>
      <c r="B9" s="12">
        <f>VLOOKUP(Task_2!A9,Dataset!A5:W43,7,FALSE)</f>
        <v>4.9000000000000004</v>
      </c>
      <c r="C9" s="12">
        <f>VLOOKUP(A9,Dataset!A5:W43,14,FALSE)</f>
        <v>13.3</v>
      </c>
      <c r="D9" s="12">
        <f>VLOOKUP(A9,Dataset!A5:W43,18,FALSE)</f>
        <v>8.1</v>
      </c>
      <c r="E9" s="12">
        <f>VLOOKUP(A9,Dataset!A5:W43,20,FALSE)</f>
        <v>17</v>
      </c>
      <c r="F9" s="8">
        <f>VLOOKUP(A9,Dataset!A5:W43,22,FALSE)</f>
        <v>8.1</v>
      </c>
    </row>
    <row r="10" spans="1:7" ht="14.4" x14ac:dyDescent="0.3">
      <c r="A10" s="7" t="s">
        <v>11</v>
      </c>
      <c r="B10" s="12">
        <f>VLOOKUP(Task_2!A10,Dataset!A6:W44,7,FALSE)</f>
        <v>9.4</v>
      </c>
      <c r="C10" s="12">
        <f>VLOOKUP(A10,Dataset!A6:W44,14,FALSE)</f>
        <v>28.3</v>
      </c>
      <c r="D10" s="12">
        <f>VLOOKUP(A10,Dataset!A6:W44,18,FALSE)</f>
        <v>16.100000000000001</v>
      </c>
      <c r="E10" s="12">
        <f>VLOOKUP(A10,Dataset!A6:W44,20,FALSE)</f>
        <v>32.799999999999997</v>
      </c>
      <c r="F10" s="8">
        <f>VLOOKUP(A10,Dataset!A6:W44,22,FALSE)</f>
        <v>16.100000000000001</v>
      </c>
    </row>
    <row r="11" spans="1:7" ht="14.4" x14ac:dyDescent="0.3">
      <c r="A11" s="7" t="s">
        <v>12</v>
      </c>
      <c r="B11" s="12">
        <f>VLOOKUP(Task_2!A11,Dataset!A7:W45,7,FALSE)</f>
        <v>11.6</v>
      </c>
      <c r="C11" s="12">
        <f>VLOOKUP(A11,Dataset!A7:W45,14,FALSE)</f>
        <v>35.200000000000003</v>
      </c>
      <c r="D11" s="12">
        <f>VLOOKUP(A11,Dataset!A7:W45,18,FALSE)</f>
        <v>21.3</v>
      </c>
      <c r="E11" s="12">
        <f>VLOOKUP(A11,Dataset!A7:W45,20,FALSE)</f>
        <v>43</v>
      </c>
      <c r="F11" s="8">
        <f>VLOOKUP(A11,Dataset!A7:W45,22,FALSE)</f>
        <v>21.3</v>
      </c>
    </row>
    <row r="12" spans="1:7" ht="14.4" x14ac:dyDescent="0.3">
      <c r="A12" s="7" t="s">
        <v>14</v>
      </c>
      <c r="B12" s="12">
        <f>VLOOKUP(Task_2!A12,Dataset!A8:W46,7,FALSE)</f>
        <v>18.399999999999999</v>
      </c>
      <c r="C12" s="12">
        <f>VLOOKUP(A12,Dataset!A8:W46,14,FALSE)</f>
        <v>55.6</v>
      </c>
      <c r="D12" s="12">
        <f>VLOOKUP(A12,Dataset!A8:W46,18,FALSE)</f>
        <v>33.799999999999997</v>
      </c>
      <c r="E12" s="12">
        <f>VLOOKUP(A12,Dataset!A8:W46,20,FALSE)</f>
        <v>67.900000000000006</v>
      </c>
      <c r="F12" s="8">
        <f>VLOOKUP(A12,Dataset!A8:W46,22,FALSE)</f>
        <v>33.799999999999997</v>
      </c>
    </row>
    <row r="13" spans="1:7" ht="14.4" x14ac:dyDescent="0.3">
      <c r="A13" s="7" t="s">
        <v>15</v>
      </c>
      <c r="B13" s="12">
        <f>VLOOKUP(Task_2!A13,Dataset!A9:W47,7,FALSE)</f>
        <v>0</v>
      </c>
      <c r="C13" s="12">
        <f>VLOOKUP(A13,Dataset!A9:W47,14,FALSE)</f>
        <v>0</v>
      </c>
      <c r="D13" s="12">
        <f>VLOOKUP(A13,Dataset!A9:W47,18,FALSE)</f>
        <v>0</v>
      </c>
      <c r="E13" s="12">
        <f>VLOOKUP(A13,Dataset!A9:W47,20,FALSE)</f>
        <v>0</v>
      </c>
      <c r="F13" s="8">
        <f>VLOOKUP(A13,Dataset!A9:W47,22,FALSE)</f>
        <v>0</v>
      </c>
    </row>
    <row r="14" spans="1:7" ht="14.4" x14ac:dyDescent="0.3">
      <c r="A14" s="7" t="s">
        <v>16</v>
      </c>
      <c r="B14" s="12">
        <f>VLOOKUP(Task_2!A14,Dataset!A10:W48,7,FALSE)</f>
        <v>21.9</v>
      </c>
      <c r="C14" s="12">
        <f>VLOOKUP(A14,Dataset!A10:W48,14,FALSE)</f>
        <v>61.5</v>
      </c>
      <c r="D14" s="12">
        <f>VLOOKUP(A14,Dataset!A10:W48,18,FALSE)</f>
        <v>40.1</v>
      </c>
      <c r="E14" s="12">
        <f>VLOOKUP(A14,Dataset!A10:W48,20,FALSE)</f>
        <v>76.599999999999994</v>
      </c>
      <c r="F14" s="8">
        <f>VLOOKUP(A14,Dataset!A10:W48,22,FALSE)</f>
        <v>40.1</v>
      </c>
    </row>
    <row r="15" spans="1:7" ht="14.4" x14ac:dyDescent="0.3">
      <c r="A15" s="7" t="s">
        <v>18</v>
      </c>
      <c r="B15" s="12">
        <f>VLOOKUP(Task_2!A15,Dataset!A11:W49,7,FALSE)</f>
        <v>26.8</v>
      </c>
      <c r="C15" s="12">
        <f>VLOOKUP(A15,Dataset!A11:W49,14,FALSE)</f>
        <v>79.599999999999994</v>
      </c>
      <c r="D15" s="12">
        <f>VLOOKUP(A15,Dataset!A11:W49,18,FALSE)</f>
        <v>47.9</v>
      </c>
      <c r="E15" s="12">
        <f>VLOOKUP(A15,Dataset!A11:W49,20,FALSE)</f>
        <v>96.8</v>
      </c>
      <c r="F15" s="8">
        <f>VLOOKUP(A15,Dataset!A11:W49,22,FALSE)</f>
        <v>47.9</v>
      </c>
    </row>
    <row r="16" spans="1:7" ht="14.4" x14ac:dyDescent="0.3">
      <c r="A16" s="7" t="s">
        <v>20</v>
      </c>
      <c r="B16" s="12">
        <f>VLOOKUP(Task_2!A16,Dataset!A12:W50,7,FALSE)</f>
        <v>28.5</v>
      </c>
      <c r="C16" s="12">
        <f>VLOOKUP(A16,Dataset!A12:W50,14,FALSE)</f>
        <v>85.4</v>
      </c>
      <c r="D16" s="12">
        <f>VLOOKUP(A16,Dataset!A12:W50,18,FALSE)</f>
        <v>52.3</v>
      </c>
      <c r="E16" s="12">
        <f>VLOOKUP(A16,Dataset!A12:W50,20,FALSE)</f>
        <v>106.1</v>
      </c>
      <c r="F16" s="8">
        <f>VLOOKUP(A16,Dataset!A12:W50,22,FALSE)</f>
        <v>52.3</v>
      </c>
    </row>
    <row r="17" spans="1:6" ht="14.4" x14ac:dyDescent="0.3">
      <c r="A17" s="7" t="s">
        <v>22</v>
      </c>
      <c r="B17" s="12">
        <f>VLOOKUP(Task_2!A17,Dataset!A13:W51,7,FALSE)</f>
        <v>30.7</v>
      </c>
      <c r="C17" s="12">
        <f>VLOOKUP(A17,Dataset!A13:W51,14,FALSE)</f>
        <v>92.1</v>
      </c>
      <c r="D17" s="12">
        <f>VLOOKUP(A17,Dataset!A13:W51,18,FALSE)</f>
        <v>57</v>
      </c>
      <c r="E17" s="12">
        <f>VLOOKUP(A17,Dataset!A13:W51,20,FALSE)</f>
        <v>115.1</v>
      </c>
      <c r="F17" s="8">
        <f>VLOOKUP(A17,Dataset!A13:W51,22,FALSE)</f>
        <v>57</v>
      </c>
    </row>
    <row r="18" spans="1:6" ht="14.4" x14ac:dyDescent="0.3">
      <c r="A18" s="7" t="s">
        <v>23</v>
      </c>
      <c r="B18" s="12">
        <f>VLOOKUP(Task_2!A18,Dataset!A14:W52,7,FALSE)</f>
        <v>33.799999999999997</v>
      </c>
      <c r="C18" s="12">
        <f>VLOOKUP(A18,Dataset!A14:W52,14,FALSE)</f>
        <v>101.3</v>
      </c>
      <c r="D18" s="12">
        <f>VLOOKUP(A18,Dataset!A14:W52,18,FALSE)</f>
        <v>61.4</v>
      </c>
      <c r="E18" s="12">
        <f>VLOOKUP(A18,Dataset!A14:W52,20,FALSE)</f>
        <v>124.4</v>
      </c>
      <c r="F18" s="8">
        <f>VLOOKUP(A18,Dataset!A14:W52,22,FALSE)</f>
        <v>61.4</v>
      </c>
    </row>
    <row r="19" spans="1:6" ht="14.4" x14ac:dyDescent="0.3">
      <c r="A19" s="7" t="s">
        <v>24</v>
      </c>
      <c r="B19" s="12">
        <f>VLOOKUP(Task_2!A19,Dataset!A15:W53,7,FALSE)</f>
        <v>34.700000000000003</v>
      </c>
      <c r="C19" s="12">
        <f>VLOOKUP(A19,Dataset!A15:W53,14,FALSE)</f>
        <v>106.1</v>
      </c>
      <c r="D19" s="12">
        <f>VLOOKUP(A19,Dataset!A15:W53,18,FALSE)</f>
        <v>63.6</v>
      </c>
      <c r="E19" s="12">
        <f>VLOOKUP(A19,Dataset!A15:W53,20,FALSE)</f>
        <v>128.6</v>
      </c>
      <c r="F19" s="8">
        <f>VLOOKUP(A19,Dataset!A15:W53,22,FALSE)</f>
        <v>63.6</v>
      </c>
    </row>
    <row r="20" spans="1:6" ht="14.4" x14ac:dyDescent="0.3">
      <c r="A20" s="7" t="s">
        <v>28</v>
      </c>
      <c r="B20" s="12">
        <f>VLOOKUP(Task_2!A20,Dataset!A16:W54,7,FALSE)</f>
        <v>0</v>
      </c>
      <c r="C20" s="12">
        <f>VLOOKUP(A20,Dataset!A16:W54,14,FALSE)</f>
        <v>0</v>
      </c>
      <c r="D20" s="12">
        <f>VLOOKUP(A20,Dataset!A16:W54,18,FALSE)</f>
        <v>0</v>
      </c>
      <c r="E20" s="12">
        <f>VLOOKUP(A20,Dataset!A16:W54,20,FALSE)</f>
        <v>0</v>
      </c>
      <c r="F20" s="8">
        <f>VLOOKUP(A20,Dataset!A16:W54,22,FALSE)</f>
        <v>0</v>
      </c>
    </row>
    <row r="21" spans="1:6" ht="14.4" x14ac:dyDescent="0.3">
      <c r="A21" s="7" t="s">
        <v>57</v>
      </c>
      <c r="B21" s="12">
        <f>VLOOKUP(Task_2!A21,Dataset!A17:W55,7,FALSE)</f>
        <v>41.3</v>
      </c>
      <c r="C21" s="12">
        <f>VLOOKUP(A21,Dataset!A17:W55,14,FALSE)</f>
        <v>124.4</v>
      </c>
      <c r="D21" s="12">
        <f>VLOOKUP(A21,Dataset!A17:W55,18,FALSE)</f>
        <v>75</v>
      </c>
      <c r="E21" s="12">
        <f>VLOOKUP(A21,Dataset!A17:W55,20,FALSE)</f>
        <v>151.5</v>
      </c>
      <c r="F21" s="8">
        <f>VLOOKUP(A21,Dataset!A17:W55,22,FALSE)</f>
        <v>75</v>
      </c>
    </row>
    <row r="22" spans="1:6" ht="14.4" x14ac:dyDescent="0.3">
      <c r="A22" s="7" t="s">
        <v>58</v>
      </c>
      <c r="B22" s="12">
        <f>VLOOKUP(Task_2!A22,Dataset!A18:W56,7,FALSE)</f>
        <v>-1</v>
      </c>
      <c r="C22" s="12">
        <f>VLOOKUP(A22,Dataset!A18:W56,14,FALSE)</f>
        <v>-1</v>
      </c>
      <c r="D22" s="12">
        <f>VLOOKUP(A22,Dataset!A18:W56,18,FALSE)</f>
        <v>-1</v>
      </c>
      <c r="E22" s="12">
        <f>VLOOKUP(A22,Dataset!A18:W56,20,FALSE)</f>
        <v>-1</v>
      </c>
      <c r="F22" s="8">
        <f>VLOOKUP(A22,Dataset!A18:W56,22,FALSE)</f>
        <v>-1</v>
      </c>
    </row>
    <row r="23" spans="1:6" ht="14.4" x14ac:dyDescent="0.3">
      <c r="A23" s="7" t="s">
        <v>31</v>
      </c>
      <c r="B23" s="12">
        <f>VLOOKUP(Task_2!A23,Dataset!A19:W57,7,FALSE)</f>
        <v>45</v>
      </c>
      <c r="C23" s="12">
        <f>VLOOKUP(A23,Dataset!A19:W57,14,FALSE)</f>
        <v>133.4</v>
      </c>
      <c r="D23" s="12">
        <f>VLOOKUP(A23,Dataset!A19:W57,18,FALSE)</f>
        <v>79.400000000000006</v>
      </c>
      <c r="E23" s="12">
        <f>VLOOKUP(A23,Dataset!A19:W57,20,FALSE)</f>
        <v>160.9</v>
      </c>
      <c r="F23" s="8">
        <f>VLOOKUP(A23,Dataset!A19:W57,22,FALSE)</f>
        <v>79.400000000000006</v>
      </c>
    </row>
    <row r="24" spans="1:6" ht="14.4" x14ac:dyDescent="0.3">
      <c r="A24" s="7" t="s">
        <v>32</v>
      </c>
      <c r="B24" s="12">
        <f>VLOOKUP(Task_2!A24,Dataset!A20:W58,7,FALSE)</f>
        <v>-1</v>
      </c>
      <c r="C24" s="12">
        <f>VLOOKUP(A24,Dataset!A20:W58,14,FALSE)</f>
        <v>-1</v>
      </c>
      <c r="D24" s="12">
        <f>VLOOKUP(A24,Dataset!A20:W58,18,FALSE)</f>
        <v>-1</v>
      </c>
      <c r="E24" s="12">
        <f>VLOOKUP(A24,Dataset!A20:W58,20,FALSE)</f>
        <v>-1</v>
      </c>
      <c r="F24" s="8">
        <f>VLOOKUP(A24,Dataset!A20:W58,22,FALSE)</f>
        <v>-1</v>
      </c>
    </row>
    <row r="25" spans="1:6" ht="14.4" x14ac:dyDescent="0.3">
      <c r="A25" s="7" t="s">
        <v>34</v>
      </c>
      <c r="B25" s="12">
        <f>VLOOKUP(Task_2!A25,Dataset!A21:W59,7,FALSE)</f>
        <v>43.3</v>
      </c>
      <c r="C25" s="12">
        <f>VLOOKUP(A25,Dataset!A21:W59,14,FALSE)</f>
        <v>128.6</v>
      </c>
      <c r="D25" s="12">
        <f>VLOOKUP(A25,Dataset!A21:W59,18,FALSE)</f>
        <v>79.400000000000006</v>
      </c>
      <c r="E25" s="12">
        <f>VLOOKUP(A25,Dataset!A21:W59,20,FALSE)</f>
        <v>160.9</v>
      </c>
      <c r="F25" s="8">
        <f>VLOOKUP(A25,Dataset!A21:W59,22,FALSE)</f>
        <v>79.400000000000006</v>
      </c>
    </row>
    <row r="26" spans="1:6" ht="14.4" x14ac:dyDescent="0.3">
      <c r="A26" s="7" t="s">
        <v>37</v>
      </c>
      <c r="B26" s="12">
        <f>VLOOKUP(Task_2!A26,Dataset!A22:W60,7,FALSE)</f>
        <v>49.1</v>
      </c>
      <c r="C26" s="12">
        <f>VLOOKUP(A26,Dataset!A22:W60,14,FALSE)</f>
        <v>146.80000000000001</v>
      </c>
      <c r="D26" s="12">
        <f>VLOOKUP(A26,Dataset!A22:W60,18,FALSE)</f>
        <v>90.9</v>
      </c>
      <c r="E26" s="12">
        <f>VLOOKUP(A26,Dataset!A22:W60,20,FALSE)</f>
        <v>183.5</v>
      </c>
      <c r="F26" s="8">
        <f>VLOOKUP(A26,Dataset!A22:W60,22,FALSE)</f>
        <v>90.9</v>
      </c>
    </row>
    <row r="27" spans="1:6" ht="14.4" x14ac:dyDescent="0.3">
      <c r="A27" s="7" t="s">
        <v>39</v>
      </c>
      <c r="B27" s="12">
        <f>VLOOKUP(Task_2!A27,Dataset!A23:W61,7,FALSE)</f>
        <v>51.8</v>
      </c>
      <c r="C27" s="12">
        <f>VLOOKUP(A27,Dataset!A23:W61,14,FALSE)</f>
        <v>156.4</v>
      </c>
      <c r="D27" s="12">
        <f>VLOOKUP(A27,Dataset!A23:W61,18,FALSE)</f>
        <v>93.1</v>
      </c>
      <c r="E27" s="12">
        <f>VLOOKUP(A27,Dataset!A23:W61,20,FALSE)</f>
        <v>188.1</v>
      </c>
      <c r="F27" s="8">
        <f>VLOOKUP(A27,Dataset!A23:W61,22,FALSE)</f>
        <v>93.1</v>
      </c>
    </row>
    <row r="28" spans="1:6" ht="14.4" x14ac:dyDescent="0.3">
      <c r="A28" s="19" t="s">
        <v>82</v>
      </c>
      <c r="B28" s="31">
        <f>MIN(B6:B27)</f>
        <v>-1</v>
      </c>
      <c r="C28" s="31">
        <f t="shared" ref="C28:F28" si="0">MIN(C6:C27)</f>
        <v>-1</v>
      </c>
      <c r="D28" s="31">
        <f t="shared" si="0"/>
        <v>-1</v>
      </c>
      <c r="E28" s="31">
        <f t="shared" si="0"/>
        <v>-1</v>
      </c>
      <c r="F28" s="31">
        <f t="shared" si="0"/>
        <v>-1</v>
      </c>
    </row>
    <row r="29" spans="1:6" ht="14.4" x14ac:dyDescent="0.3">
      <c r="A29" s="19" t="s">
        <v>83</v>
      </c>
      <c r="B29" s="31">
        <f>MAX(B6:B27)</f>
        <v>51.8</v>
      </c>
      <c r="C29" s="31">
        <f t="shared" ref="C29:F29" si="1">MAX(C6:C27)</f>
        <v>156.4</v>
      </c>
      <c r="D29" s="31">
        <f t="shared" si="1"/>
        <v>93.1</v>
      </c>
      <c r="E29" s="31">
        <f t="shared" si="1"/>
        <v>188.1</v>
      </c>
      <c r="F29" s="31">
        <f t="shared" si="1"/>
        <v>93.1</v>
      </c>
    </row>
    <row r="30" spans="1:6" ht="14.4" x14ac:dyDescent="0.3">
      <c r="A30" s="19" t="s">
        <v>84</v>
      </c>
      <c r="B30" s="31">
        <f>AVERAGE(B6:B27)</f>
        <v>20.827272727272728</v>
      </c>
      <c r="C30" s="31">
        <f t="shared" ref="C30:F30" si="2">AVERAGE(C6:C27)</f>
        <v>62.377272727272725</v>
      </c>
      <c r="D30" s="31">
        <f t="shared" si="2"/>
        <v>37.800000000000004</v>
      </c>
      <c r="E30" s="31">
        <f t="shared" si="2"/>
        <v>76.418181818181822</v>
      </c>
      <c r="F30" s="31">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37" zoomScaleNormal="100" workbookViewId="0">
      <selection activeCell="F24" sqref="F24"/>
    </sheetView>
  </sheetViews>
  <sheetFormatPr defaultColWidth="11" defaultRowHeight="14.4" x14ac:dyDescent="0.3"/>
  <cols>
    <col min="1" max="1" width="39.77734375" style="1" bestFit="1" customWidth="1"/>
    <col min="2" max="16384" width="11" style="1"/>
  </cols>
  <sheetData>
    <row r="1" spans="1:10" s="41" customFormat="1" ht="21" x14ac:dyDescent="0.4">
      <c r="A1" s="42" t="s">
        <v>56</v>
      </c>
      <c r="B1" s="41" t="s">
        <v>173</v>
      </c>
    </row>
    <row r="2" spans="1:10" customFormat="1" ht="13.2" x14ac:dyDescent="0.25"/>
    <row r="3" spans="1:10" s="2" customFormat="1" x14ac:dyDescent="0.3">
      <c r="B3" s="1"/>
    </row>
    <row r="4" spans="1:10" s="2" customFormat="1" x14ac:dyDescent="0.3">
      <c r="B4" s="1" t="s">
        <v>150</v>
      </c>
    </row>
    <row r="5" spans="1:10" ht="18" x14ac:dyDescent="0.35">
      <c r="A5" s="43" t="s">
        <v>53</v>
      </c>
      <c r="B5" s="40"/>
    </row>
    <row r="6" spans="1:10" ht="18" x14ac:dyDescent="0.35">
      <c r="A6" s="43" t="s">
        <v>152</v>
      </c>
      <c r="B6" s="40"/>
    </row>
    <row r="7" spans="1:10" ht="18" x14ac:dyDescent="0.35">
      <c r="A7" s="43"/>
      <c r="B7" s="40"/>
    </row>
    <row r="9" spans="1:10" ht="23.4" x14ac:dyDescent="0.45">
      <c r="A9" s="18" t="s">
        <v>164</v>
      </c>
      <c r="I9" s="2"/>
      <c r="J9" s="2"/>
    </row>
    <row r="10" spans="1:10" x14ac:dyDescent="0.3">
      <c r="A10" s="33" t="s">
        <v>102</v>
      </c>
      <c r="B10" s="17" t="s">
        <v>49</v>
      </c>
      <c r="C10" s="17" t="s">
        <v>50</v>
      </c>
      <c r="D10" s="17" t="s">
        <v>51</v>
      </c>
      <c r="E10" s="17" t="s">
        <v>52</v>
      </c>
      <c r="F10" s="17" t="s">
        <v>54</v>
      </c>
      <c r="I10" s="2"/>
      <c r="J10" s="2"/>
    </row>
    <row r="11" spans="1:10" x14ac:dyDescent="0.3">
      <c r="A11" s="9" t="s">
        <v>120</v>
      </c>
      <c r="B11" s="13">
        <v>20000</v>
      </c>
      <c r="C11" s="13" t="s">
        <v>5</v>
      </c>
      <c r="D11" s="13">
        <v>0</v>
      </c>
      <c r="E11" s="11" t="s">
        <v>6</v>
      </c>
      <c r="F11" s="11">
        <v>24</v>
      </c>
      <c r="I11" s="2"/>
      <c r="J11" s="2"/>
    </row>
    <row r="14" spans="1:10" ht="23.4" x14ac:dyDescent="0.45">
      <c r="A14" s="18" t="s">
        <v>161</v>
      </c>
    </row>
    <row r="15" spans="1:10" x14ac:dyDescent="0.3">
      <c r="A15" s="14" t="s">
        <v>103</v>
      </c>
      <c r="B15" s="17" t="s">
        <v>49</v>
      </c>
      <c r="C15" s="15" t="s">
        <v>50</v>
      </c>
      <c r="D15" s="17" t="s">
        <v>51</v>
      </c>
      <c r="E15" s="15" t="s">
        <v>52</v>
      </c>
      <c r="F15" s="17" t="s">
        <v>54</v>
      </c>
    </row>
    <row r="16" spans="1:10"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4" zoomScaleNormal="100" workbookViewId="0">
      <selection activeCell="B6" sqref="B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85</v>
      </c>
      <c r="B1" s="41" t="s">
        <v>166</v>
      </c>
    </row>
    <row r="2" spans="1:3" ht="18" x14ac:dyDescent="0.35">
      <c r="B2" s="40" t="s">
        <v>165</v>
      </c>
    </row>
    <row r="5" spans="1:3" ht="14.4" x14ac:dyDescent="0.3">
      <c r="B5" s="1" t="s">
        <v>150</v>
      </c>
    </row>
    <row r="6" spans="1:3" ht="14.4" x14ac:dyDescent="0.3">
      <c r="A6" s="3" t="s">
        <v>53</v>
      </c>
      <c r="B6" s="1" t="s">
        <v>178</v>
      </c>
    </row>
    <row r="7" spans="1:3" ht="14.4" x14ac:dyDescent="0.3">
      <c r="A7" s="3" t="s">
        <v>152</v>
      </c>
      <c r="B7" s="2" t="s">
        <v>177</v>
      </c>
    </row>
    <row r="10" spans="1:3" ht="23.4" x14ac:dyDescent="0.45">
      <c r="A10" s="18" t="s">
        <v>161</v>
      </c>
    </row>
    <row r="11" spans="1:3" ht="14.4" x14ac:dyDescent="0.3">
      <c r="A11" s="32" t="s">
        <v>86</v>
      </c>
      <c r="B11" s="17" t="s">
        <v>87</v>
      </c>
      <c r="C11" s="17" t="s">
        <v>88</v>
      </c>
    </row>
    <row r="12" spans="1:3" ht="14.4" x14ac:dyDescent="0.3">
      <c r="A12" s="32">
        <v>44927</v>
      </c>
      <c r="B12" s="17" t="s">
        <v>59</v>
      </c>
      <c r="C12" s="17">
        <v>200</v>
      </c>
    </row>
    <row r="13" spans="1:3" ht="14.4" x14ac:dyDescent="0.3">
      <c r="A13" s="32">
        <v>44928</v>
      </c>
      <c r="B13" s="17" t="s">
        <v>60</v>
      </c>
      <c r="C13" s="17" t="e">
        <v>#N/A</v>
      </c>
    </row>
    <row r="14" spans="1:3" ht="14.4" x14ac:dyDescent="0.3">
      <c r="A14" s="32">
        <v>44929</v>
      </c>
      <c r="B14" s="17" t="s">
        <v>61</v>
      </c>
      <c r="C14" s="17">
        <v>50</v>
      </c>
    </row>
    <row r="15" spans="1:3" ht="14.4" x14ac:dyDescent="0.3">
      <c r="A15" s="32">
        <v>44930</v>
      </c>
      <c r="B15" s="17" t="s">
        <v>62</v>
      </c>
      <c r="C15" s="17" t="e">
        <v>#N/A</v>
      </c>
    </row>
    <row r="16" spans="1:3" ht="14.4" x14ac:dyDescent="0.3">
      <c r="A16" s="32">
        <v>44931</v>
      </c>
      <c r="B16" s="17" t="s">
        <v>63</v>
      </c>
      <c r="C16" s="17">
        <v>10</v>
      </c>
    </row>
    <row r="17" spans="1:3" ht="14.4" x14ac:dyDescent="0.3">
      <c r="A17" s="32">
        <v>44932</v>
      </c>
      <c r="B17" s="17" t="s">
        <v>153</v>
      </c>
      <c r="C17" s="17">
        <v>150</v>
      </c>
    </row>
    <row r="18" spans="1:3" ht="14.4" x14ac:dyDescent="0.3">
      <c r="A18" s="32">
        <v>44933</v>
      </c>
      <c r="B18" s="17" t="s">
        <v>154</v>
      </c>
      <c r="C18" s="17">
        <v>80</v>
      </c>
    </row>
    <row r="19" spans="1:3" ht="14.4" x14ac:dyDescent="0.3">
      <c r="A19" s="32">
        <v>44934</v>
      </c>
      <c r="B19" s="17" t="s">
        <v>155</v>
      </c>
      <c r="C19" s="17" t="e">
        <v>#N/A</v>
      </c>
    </row>
    <row r="20" spans="1:3" ht="14.4" x14ac:dyDescent="0.3">
      <c r="A20" s="32">
        <v>44935</v>
      </c>
      <c r="B20" s="17" t="s">
        <v>156</v>
      </c>
      <c r="C20" s="17">
        <v>30</v>
      </c>
    </row>
    <row r="21" spans="1:3" ht="14.4" x14ac:dyDescent="0.3">
      <c r="A21" s="32">
        <v>44936</v>
      </c>
      <c r="B21" s="17" t="s">
        <v>157</v>
      </c>
      <c r="C21" s="17" t="e">
        <v>#N/A</v>
      </c>
    </row>
    <row r="22" spans="1:3" ht="14.4" x14ac:dyDescent="0.3">
      <c r="B22" s="17" t="s">
        <v>158</v>
      </c>
      <c r="C22" s="25" cm="1">
        <f t="array" ref="C22">SUM(IFERROR(C12:C21,20))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election activeCell="D8" sqref="D8"/>
    </sheetView>
  </sheetViews>
  <sheetFormatPr defaultColWidth="11" defaultRowHeight="13.8" x14ac:dyDescent="0.3"/>
  <cols>
    <col min="1" max="1" width="28.21875" style="2" bestFit="1" customWidth="1"/>
    <col min="2" max="16384" width="11" style="2"/>
  </cols>
  <sheetData>
    <row r="1" spans="1:14" ht="21" x14ac:dyDescent="0.4">
      <c r="A1" s="42" t="s">
        <v>98</v>
      </c>
      <c r="B1" s="41" t="s">
        <v>174</v>
      </c>
    </row>
    <row r="3" spans="1:14" ht="14.4" x14ac:dyDescent="0.3">
      <c r="B3" s="1" t="s">
        <v>150</v>
      </c>
    </row>
    <row r="4" spans="1:14" ht="18" x14ac:dyDescent="0.35">
      <c r="A4" s="43" t="s">
        <v>53</v>
      </c>
      <c r="B4" s="1"/>
      <c r="C4" s="2" t="s">
        <v>180</v>
      </c>
    </row>
    <row r="5" spans="1:14" ht="18" x14ac:dyDescent="0.35">
      <c r="A5" s="43" t="s">
        <v>152</v>
      </c>
      <c r="B5" s="48" t="s">
        <v>179</v>
      </c>
      <c r="C5" s="48"/>
      <c r="D5" s="48"/>
      <c r="E5" s="48"/>
      <c r="F5" s="48"/>
      <c r="G5" s="48"/>
      <c r="H5" s="48"/>
      <c r="I5" s="48"/>
      <c r="J5" s="48"/>
      <c r="K5" s="48"/>
      <c r="L5" s="48"/>
      <c r="M5" s="48"/>
    </row>
    <row r="6" spans="1:14" ht="14.4" x14ac:dyDescent="0.3">
      <c r="A6" s="3"/>
      <c r="B6" s="48"/>
      <c r="C6" s="48"/>
      <c r="D6" s="48"/>
      <c r="E6" s="48"/>
      <c r="F6" s="48"/>
      <c r="G6" s="48"/>
      <c r="H6" s="48"/>
      <c r="I6" s="48"/>
    </row>
    <row r="8" spans="1:14" ht="23.4" x14ac:dyDescent="0.45">
      <c r="A8" s="18" t="s">
        <v>161</v>
      </c>
      <c r="M8" s="18" t="s">
        <v>162</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167</v>
      </c>
    </row>
    <row r="22" spans="1:14" ht="14.4" x14ac:dyDescent="0.3">
      <c r="A22" s="14" t="s">
        <v>100</v>
      </c>
      <c r="B22" s="17" t="s">
        <v>101</v>
      </c>
      <c r="C22" s="16" t="s">
        <v>102</v>
      </c>
    </row>
    <row r="23" spans="1:14" ht="14.4" x14ac:dyDescent="0.3">
      <c r="A23" s="7">
        <v>10100</v>
      </c>
      <c r="B23" s="12">
        <v>10102</v>
      </c>
      <c r="C23" s="44">
        <f>INDEX($A$9:$J$18, MATCH(A23, $M$9:$M$18, 0), MATCH(B23, $M$9:$M$18, 0))</f>
        <v>95</v>
      </c>
    </row>
    <row r="24" spans="1:14" ht="14.4" x14ac:dyDescent="0.3">
      <c r="A24" s="7">
        <v>10100</v>
      </c>
      <c r="B24" s="12">
        <v>10104</v>
      </c>
      <c r="C24" s="44">
        <f t="shared" ref="C24:C35" si="0">INDEX($A$9:$J$18, MATCH(A24, $M$9:$M$18, 0), MATCH(B24, $M$9:$M$18, 0))</f>
        <v>-1</v>
      </c>
    </row>
    <row r="25" spans="1:14" ht="14.4" x14ac:dyDescent="0.3">
      <c r="A25" s="7">
        <v>10108</v>
      </c>
      <c r="B25" s="12">
        <v>10102</v>
      </c>
      <c r="C25" s="44">
        <f t="shared" si="0"/>
        <v>160</v>
      </c>
    </row>
    <row r="26" spans="1:14" ht="14.4" x14ac:dyDescent="0.3">
      <c r="A26" s="7">
        <v>10100</v>
      </c>
      <c r="B26" s="12">
        <v>10106</v>
      </c>
      <c r="C26" s="44">
        <f t="shared" si="0"/>
        <v>185</v>
      </c>
    </row>
    <row r="27" spans="1:14" ht="14.4" x14ac:dyDescent="0.3">
      <c r="A27" s="7">
        <v>10108</v>
      </c>
      <c r="B27" s="12">
        <v>10110</v>
      </c>
      <c r="C27" s="44">
        <f t="shared" si="0"/>
        <v>50</v>
      </c>
    </row>
    <row r="28" spans="1:14" ht="14.4" x14ac:dyDescent="0.3">
      <c r="A28" s="7">
        <v>10102</v>
      </c>
      <c r="B28" s="12">
        <v>10104</v>
      </c>
      <c r="C28" s="44">
        <f t="shared" si="0"/>
        <v>-1</v>
      </c>
    </row>
    <row r="29" spans="1:14" ht="14.4" x14ac:dyDescent="0.3">
      <c r="A29" s="7">
        <v>10106</v>
      </c>
      <c r="B29" s="12">
        <v>10108</v>
      </c>
      <c r="C29" s="44">
        <f t="shared" si="0"/>
        <v>70</v>
      </c>
    </row>
    <row r="30" spans="1:14" ht="14.4" x14ac:dyDescent="0.3">
      <c r="A30" s="7">
        <v>10102</v>
      </c>
      <c r="B30" s="12">
        <v>10106</v>
      </c>
      <c r="C30" s="44">
        <f t="shared" si="0"/>
        <v>90</v>
      </c>
    </row>
    <row r="31" spans="1:14" ht="14.4" x14ac:dyDescent="0.3">
      <c r="A31" s="7">
        <v>10110</v>
      </c>
      <c r="B31" s="12">
        <v>10114</v>
      </c>
      <c r="C31" s="44">
        <f t="shared" si="0"/>
        <v>180</v>
      </c>
    </row>
    <row r="32" spans="1:14" ht="14.4" x14ac:dyDescent="0.3">
      <c r="A32" s="7">
        <v>10104</v>
      </c>
      <c r="B32" s="12">
        <v>10106</v>
      </c>
      <c r="C32" s="44">
        <f t="shared" si="0"/>
        <v>60</v>
      </c>
    </row>
    <row r="33" spans="1:3" ht="14.4" x14ac:dyDescent="0.3">
      <c r="A33" s="7">
        <v>10110</v>
      </c>
      <c r="B33" s="12">
        <v>10112</v>
      </c>
      <c r="C33" s="44">
        <f t="shared" si="0"/>
        <v>115</v>
      </c>
    </row>
    <row r="34" spans="1:3" ht="14.4" x14ac:dyDescent="0.3">
      <c r="A34" s="7">
        <v>10100</v>
      </c>
      <c r="B34" s="12">
        <v>10114</v>
      </c>
      <c r="C34" s="44">
        <f t="shared" si="0"/>
        <v>480</v>
      </c>
    </row>
    <row r="35" spans="1:3" ht="14.4" x14ac:dyDescent="0.3">
      <c r="A35" s="9">
        <v>10112</v>
      </c>
      <c r="B35" s="13">
        <v>10116</v>
      </c>
      <c r="C35" s="44">
        <f t="shared" si="0"/>
        <v>105</v>
      </c>
    </row>
  </sheetData>
  <mergeCells count="2">
    <mergeCell ref="B6:I6"/>
    <mergeCell ref="B5:M5"/>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Viyas GR</cp:lastModifiedBy>
  <dcterms:created xsi:type="dcterms:W3CDTF">2015-02-10T17:33:11Z</dcterms:created>
  <dcterms:modified xsi:type="dcterms:W3CDTF">2024-10-22T17:12:07Z</dcterms:modified>
</cp:coreProperties>
</file>